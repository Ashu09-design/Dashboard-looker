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oshua.Samuel\Downloads\"/>
    </mc:Choice>
  </mc:AlternateContent>
  <xr:revisionPtr revIDLastSave="0" documentId="13_ncr:1_{A6EBAD69-79FA-4972-94AC-48315ABF900B}" xr6:coauthVersionLast="47" xr6:coauthVersionMax="47" xr10:uidLastSave="{00000000-0000-0000-0000-000000000000}"/>
  <bookViews>
    <workbookView xWindow="-108" yWindow="-108" windowWidth="23256" windowHeight="13896" tabRatio="881" xr2:uid="{44C0821B-3B76-42F7-8C4B-E4A100EE69EA}"/>
  </bookViews>
  <sheets>
    <sheet name="Account Details" sheetId="17" r:id="rId1"/>
    <sheet name="Bayer Quality Metrics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2" l="1"/>
  <c r="L20" i="2"/>
  <c r="L21" i="2"/>
  <c r="K20" i="2"/>
  <c r="K21" i="2"/>
  <c r="M21" i="2" s="1"/>
  <c r="M20" i="2"/>
  <c r="K19" i="2"/>
  <c r="M19" i="2" s="1"/>
  <c r="L18" i="2"/>
  <c r="K18" i="2"/>
  <c r="M18" i="2" s="1"/>
  <c r="L16" i="2"/>
  <c r="L17" i="2"/>
  <c r="K16" i="2"/>
  <c r="K17" i="2"/>
  <c r="L14" i="2"/>
  <c r="L15" i="2"/>
  <c r="K14" i="2"/>
  <c r="M14" i="2" s="1"/>
  <c r="K15" i="2"/>
  <c r="M6" i="2"/>
  <c r="M7" i="2"/>
  <c r="M8" i="2"/>
  <c r="M9" i="2"/>
  <c r="M10" i="2"/>
  <c r="L5" i="2"/>
  <c r="L6" i="2"/>
  <c r="L7" i="2"/>
  <c r="L8" i="2"/>
  <c r="L9" i="2"/>
  <c r="L10" i="2"/>
  <c r="L11" i="2"/>
  <c r="L12" i="2"/>
  <c r="L13" i="2"/>
  <c r="K10" i="2"/>
  <c r="K11" i="2"/>
  <c r="M11" i="2" s="1"/>
  <c r="K12" i="2"/>
  <c r="M12" i="2" s="1"/>
  <c r="K13" i="2"/>
  <c r="M13" i="2" s="1"/>
  <c r="K9" i="2"/>
  <c r="K8" i="2"/>
  <c r="K7" i="2"/>
  <c r="K6" i="2"/>
  <c r="M15" i="2" l="1"/>
  <c r="M17" i="2"/>
  <c r="M16" i="2"/>
  <c r="K5" i="2" l="1"/>
  <c r="M5" i="2" s="1"/>
  <c r="L4" i="2"/>
  <c r="K4" i="2"/>
  <c r="M4" i="2" s="1"/>
  <c r="L3" i="2"/>
  <c r="K3" i="2"/>
  <c r="L2" i="2"/>
  <c r="K2" i="2"/>
  <c r="M2" i="2" s="1"/>
  <c r="M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tc={988A1595-7961-4E50-B8CC-0BB79845BF60}</author>
    <author>tc={BFD52620-6437-47F4-B534-0E34FD247F86}</author>
    <author>tc={B9131215-E9AE-4EAE-ACC9-6FC97E14F2A5}</author>
    <author>tc={1C158F68-7A71-436E-894E-0CADC7DC94A0}</author>
    <author>tc={5B7B5560-D323-4BE5-9684-9676CB1C923D}</author>
    <author>tc={7292221E-14DE-4AB7-851B-99C11727BBA6}</author>
  </authors>
  <commentList>
    <comment ref="M7" authorId="0" shapeId="0" xr:uid="{988A1595-7961-4E50-B8CC-0BB79845BF60}">
      <text>
        <t>[Threaded comment]
Your version of Excel allows you to read this threaded comment; however, any edits to it will get removed if the file is opened in a newer version of Excel. Learn more: https://go.microsoft.com/fwlink/?linkid=870924
Comment:
    Simple request with no deadlines</t>
      </text>
    </comment>
    <comment ref="M8" authorId="1" shapeId="0" xr:uid="{BFD52620-6437-47F4-B534-0E34FD247F86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both HCP and DTC site, there were sufficient deadlines and projects were divides into phases</t>
      </text>
    </comment>
    <comment ref="M11" authorId="2" shapeId="0" xr:uid="{B9131215-E9AE-4EAE-ACC9-6FC97E14F2A5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the QA was done on the existing implementation and followed by SDR update and new implementation</t>
      </text>
    </comment>
    <comment ref="M13" authorId="3" shapeId="0" xr:uid="{1C158F68-7A71-436E-894E-0CADC7DC94A0}">
      <text>
        <t>[Threaded comment]
Your version of Excel allows you to read this threaded comment; however, any edits to it will get removed if the file is opened in a newer version of Excel. Learn more: https://go.microsoft.com/fwlink/?linkid=870924
Comment:
    CTAs were exceeding the char count, termed as failed elements</t>
      </text>
    </comment>
    <comment ref="M15" authorId="4" shapeId="0" xr:uid="{5B7B5560-D323-4BE5-9684-9676CB1C923D}">
      <text>
        <t>[Threaded comment]
Your version of Excel allows you to read this threaded comment; however, any edits to it will get removed if the file is opened in a newer version of Excel. Learn more: https://go.microsoft.com/fwlink/?linkid=870924
Comment:
    Videos were made inaccessible leading to failing them during mid project</t>
      </text>
    </comment>
    <comment ref="M16" authorId="5" shapeId="0" xr:uid="{7292221E-14DE-4AB7-851B-99C11727BBA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Implementation was done by QA as a  part of learning the implementation </t>
      </text>
    </comment>
  </commentList>
</comments>
</file>

<file path=xl/sharedStrings.xml><?xml version="1.0" encoding="utf-8"?>
<sst xmlns="http://schemas.openxmlformats.org/spreadsheetml/2006/main" count="109" uniqueCount="71">
  <si>
    <t>Engagement Name</t>
  </si>
  <si>
    <t>QA Metrics Tracking</t>
  </si>
  <si>
    <t>Expected projects per month</t>
  </si>
  <si>
    <t>Datalayer/DOM scrapping</t>
  </si>
  <si>
    <t>Web team- Internal/External</t>
  </si>
  <si>
    <t>Comments</t>
  </si>
  <si>
    <t>Bayer</t>
  </si>
  <si>
    <t>Yes</t>
  </si>
  <si>
    <t>05-10</t>
  </si>
  <si>
    <t>Both</t>
  </si>
  <si>
    <t>Internal</t>
  </si>
  <si>
    <t>Ipsen</t>
  </si>
  <si>
    <t>Datalayer</t>
  </si>
  <si>
    <t>Incyte</t>
  </si>
  <si>
    <t>20-30</t>
  </si>
  <si>
    <t>Takeda</t>
  </si>
  <si>
    <t>Amgen</t>
  </si>
  <si>
    <t>3-4</t>
  </si>
  <si>
    <t>Abbvie</t>
  </si>
  <si>
    <t>10-20</t>
  </si>
  <si>
    <t>External</t>
  </si>
  <si>
    <t>Fresineous</t>
  </si>
  <si>
    <t>Not Yet</t>
  </si>
  <si>
    <t>DOM scrapping</t>
  </si>
  <si>
    <t>GSK</t>
  </si>
  <si>
    <t>GSK 3rd Party</t>
  </si>
  <si>
    <t>Gilead</t>
  </si>
  <si>
    <t>30-50</t>
  </si>
  <si>
    <t>Regeneron</t>
  </si>
  <si>
    <t>4-5</t>
  </si>
  <si>
    <t>Datalayer ( via GTM)</t>
  </si>
  <si>
    <t>AstraZeneca</t>
  </si>
  <si>
    <t>NA</t>
  </si>
  <si>
    <t>Alnylam</t>
  </si>
  <si>
    <t>New Project</t>
  </si>
  <si>
    <t>Sanofi</t>
  </si>
  <si>
    <t>Vertex</t>
  </si>
  <si>
    <t>Consulting role</t>
  </si>
  <si>
    <t>Project Name</t>
  </si>
  <si>
    <t>QA Date</t>
  </si>
  <si>
    <t>MDE- 1945 Nubeqa DTC Bravo Updates</t>
  </si>
  <si>
    <t>MDE- 1980 Zerocopay support Stivarga</t>
  </si>
  <si>
    <t>MDE-2042 Bayer | PID-4812 / Vitrakvi_HCP_Lasting_Victories_Website_Update</t>
  </si>
  <si>
    <t>MDE- 2012 PID-4957 / Stivarga_HCP_Website_Update_Phase_2B</t>
  </si>
  <si>
    <t xml:space="preserve">USMA WHC </t>
  </si>
  <si>
    <t>Kerendia HCP MVA</t>
  </si>
  <si>
    <t>EZN HCP</t>
  </si>
  <si>
    <t>EZN DTC</t>
  </si>
  <si>
    <t>Kerendia HCP Updates</t>
  </si>
  <si>
    <t>USMA Hematology</t>
  </si>
  <si>
    <t>Medical Affairs</t>
  </si>
  <si>
    <t>Cardiopulmonary</t>
  </si>
  <si>
    <t>Hyrnuo HCP</t>
  </si>
  <si>
    <t>Lynkuet DTC</t>
  </si>
  <si>
    <t>Nubeqa HCP</t>
  </si>
  <si>
    <t>Lynkuet HCP</t>
  </si>
  <si>
    <t>Hyrnuo HCP updates</t>
  </si>
  <si>
    <t>Oncology</t>
  </si>
  <si>
    <t>Kerendia DTC updates</t>
  </si>
  <si>
    <t>Kerendia HCP updates</t>
  </si>
  <si>
    <t>Global</t>
  </si>
  <si>
    <t>Inpage</t>
  </si>
  <si>
    <t>Form</t>
  </si>
  <si>
    <t>Videos</t>
  </si>
  <si>
    <t>Total Tags</t>
  </si>
  <si>
    <t>Total Failed</t>
  </si>
  <si>
    <t>Rating</t>
  </si>
  <si>
    <t>Global Failed</t>
  </si>
  <si>
    <t>Inpage Failed</t>
  </si>
  <si>
    <t>Form Failed</t>
  </si>
  <si>
    <t>Videos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</si>
</sst>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0" fillId="2" borderId="6" xfId="0" applyFill="1" applyBorder="1"/>
    <xf numFmtId="17" fontId="0" fillId="2" borderId="6" xfId="0" applyNumberFormat="1" applyFill="1" applyBorder="1"/>
    <xf numFmtId="164" fontId="0" fillId="3" borderId="0" xfId="1" applyNumberFormat="1" applyFont="1" applyFill="1"/>
    <xf numFmtId="164" fontId="0" fillId="3" borderId="6" xfId="1" applyNumberFormat="1" applyFont="1" applyFill="1" applyBorder="1"/>
    <xf numFmtId="164" fontId="0" fillId="2" borderId="0" xfId="1" applyNumberFormat="1" applyFont="1" applyFill="1"/>
    <xf numFmtId="164" fontId="0" fillId="2" borderId="6" xfId="1" applyNumberFormat="1" applyFont="1" applyFill="1" applyBorder="1"/>
    <xf numFmtId="164" fontId="0" fillId="4" borderId="7" xfId="1" applyNumberFormat="1" applyFont="1" applyFill="1" applyBorder="1"/>
    <xf numFmtId="10" fontId="0" fillId="4" borderId="6" xfId="2" applyNumberFormat="1" applyFont="1" applyFill="1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6" fontId="0" fillId="0" borderId="0" xfId="0" quotePrefix="1" applyNumberFormat="1" applyAlignment="1">
      <alignment vertical="center"/>
    </xf>
    <xf numFmtId="17" fontId="0" fillId="0" borderId="0" xfId="0" quotePrefix="1" applyNumberFormat="1" applyAlignment="1">
      <alignment vertical="center"/>
    </xf>
    <xf numFmtId="0" fontId="0" fillId="4" borderId="0" xfId="0" applyFill="1" applyAlignment="1">
      <alignment vertical="center"/>
    </xf>
    <xf numFmtId="0" fontId="0" fillId="5" borderId="0" xfId="0" applyFill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nket Agrawal" id="{B85700BF-5A11-4778-A8CE-5B50596A6316}" userId="S::sanket.agrawal@indegene.com::267ec2f9-07fb-4ed3-be38-59d639b9ce8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7" dT="2025-07-07T10:12:05.44" personId="{B85700BF-5A11-4778-A8CE-5B50596A6316}" id="{988A1595-7961-4E50-B8CC-0BB79845BF60}">
    <text>Simple request with no deadlines</text>
  </threadedComment>
  <threadedComment ref="M8" dT="2025-08-05T14:54:47.54" personId="{B85700BF-5A11-4778-A8CE-5B50596A6316}" id="{BFD52620-6437-47F4-B534-0E34FD247F86}">
    <text>For both HCP and DTC site, there were sufficient deadlines and projects were divides into phases</text>
  </threadedComment>
  <threadedComment ref="M11" dT="2025-10-14T08:01:20.38" personId="{B85700BF-5A11-4778-A8CE-5B50596A6316}" id="{B9131215-E9AE-4EAE-ACC9-6FC97E14F2A5}">
    <text>first the QA was done on the existing implementation and followed by SDR update and new implementation</text>
  </threadedComment>
  <threadedComment ref="M13" dT="2025-11-18T08:03:52.13" personId="{B85700BF-5A11-4778-A8CE-5B50596A6316}" id="{1C158F68-7A71-436E-894E-0CADC7DC94A0}">
    <text>CTAs were exceeding the char count, termed as failed elements</text>
  </threadedComment>
  <threadedComment ref="M15" dT="2025-12-05T03:28:04.85" personId="{B85700BF-5A11-4778-A8CE-5B50596A6316}" id="{5B7B5560-D323-4BE5-9684-9676CB1C923D}">
    <text>Videos were made inaccessible leading to failing them during mid project</text>
  </threadedComment>
  <threadedComment ref="M16" dT="2025-12-05T03:27:04.94" personId="{B85700BF-5A11-4778-A8CE-5B50596A6316}" id="{7292221E-14DE-4AB7-851B-99C11727BBA6}">
    <text xml:space="preserve">Implementation was done by QA as a  part of learning the implementation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B8055-ABC8-4369-B635-C8EE9CE41F60}">
  <dimension ref="A1:F16"/>
  <sheetViews>
    <sheetView tabSelected="1" workbookViewId="0">
      <selection activeCell="D16" sqref="D16"/>
    </sheetView>
  </sheetViews>
  <sheetFormatPr defaultRowHeight="14.4" x14ac:dyDescent="0.3"/>
  <cols>
    <col min="1" max="1" width="16.44140625" bestFit="1" customWidth="1"/>
    <col min="2" max="2" width="17.44140625" bestFit="1" customWidth="1"/>
    <col min="3" max="3" width="24.88671875" bestFit="1" customWidth="1"/>
    <col min="4" max="5" width="24.88671875" customWidth="1"/>
    <col min="6" max="6" width="13" bestFit="1" customWidth="1"/>
  </cols>
  <sheetData>
    <row r="1" spans="1:6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</row>
    <row r="2" spans="1:6" x14ac:dyDescent="0.3">
      <c r="A2" s="21" t="s">
        <v>6</v>
      </c>
      <c r="B2" s="18" t="s">
        <v>7</v>
      </c>
      <c r="C2" s="19" t="s">
        <v>8</v>
      </c>
      <c r="D2" s="19" t="s">
        <v>9</v>
      </c>
      <c r="E2" s="19" t="s">
        <v>10</v>
      </c>
      <c r="F2" s="18"/>
    </row>
    <row r="3" spans="1:6" x14ac:dyDescent="0.3">
      <c r="A3" s="21" t="s">
        <v>11</v>
      </c>
      <c r="B3" s="18" t="s">
        <v>7</v>
      </c>
      <c r="C3" s="19" t="s">
        <v>8</v>
      </c>
      <c r="D3" s="19" t="s">
        <v>12</v>
      </c>
      <c r="E3" s="19" t="s">
        <v>10</v>
      </c>
      <c r="F3" s="18"/>
    </row>
    <row r="4" spans="1:6" x14ac:dyDescent="0.3">
      <c r="A4" s="21" t="s">
        <v>13</v>
      </c>
      <c r="B4" s="18" t="s">
        <v>7</v>
      </c>
      <c r="C4" s="18" t="s">
        <v>14</v>
      </c>
      <c r="D4" s="18" t="s">
        <v>12</v>
      </c>
      <c r="E4" s="18" t="s">
        <v>9</v>
      </c>
      <c r="F4" s="18"/>
    </row>
    <row r="5" spans="1:6" x14ac:dyDescent="0.3">
      <c r="A5" s="21" t="s">
        <v>15</v>
      </c>
      <c r="B5" s="18" t="s">
        <v>7</v>
      </c>
      <c r="C5" s="19" t="s">
        <v>8</v>
      </c>
      <c r="D5" s="19" t="s">
        <v>9</v>
      </c>
      <c r="E5" s="19" t="s">
        <v>9</v>
      </c>
      <c r="F5" s="18"/>
    </row>
    <row r="6" spans="1:6" x14ac:dyDescent="0.3">
      <c r="A6" s="18" t="s">
        <v>16</v>
      </c>
      <c r="B6" s="18" t="s">
        <v>7</v>
      </c>
      <c r="C6" s="19" t="s">
        <v>17</v>
      </c>
      <c r="D6" s="19" t="s">
        <v>12</v>
      </c>
      <c r="E6" s="19" t="s">
        <v>10</v>
      </c>
      <c r="F6" s="18"/>
    </row>
    <row r="7" spans="1:6" x14ac:dyDescent="0.3">
      <c r="A7" s="22" t="s">
        <v>18</v>
      </c>
      <c r="B7" s="18" t="s">
        <v>7</v>
      </c>
      <c r="C7" s="20" t="s">
        <v>19</v>
      </c>
      <c r="D7" s="20" t="s">
        <v>9</v>
      </c>
      <c r="E7" s="20" t="s">
        <v>20</v>
      </c>
      <c r="F7" s="18"/>
    </row>
    <row r="8" spans="1:6" x14ac:dyDescent="0.3">
      <c r="A8" s="22" t="s">
        <v>21</v>
      </c>
      <c r="B8" s="18" t="s">
        <v>22</v>
      </c>
      <c r="C8" s="20" t="s">
        <v>19</v>
      </c>
      <c r="D8" s="20" t="s">
        <v>23</v>
      </c>
      <c r="E8" s="20" t="s">
        <v>20</v>
      </c>
      <c r="F8" s="18"/>
    </row>
    <row r="9" spans="1:6" x14ac:dyDescent="0.3">
      <c r="A9" s="22" t="s">
        <v>24</v>
      </c>
      <c r="B9" s="18" t="s">
        <v>22</v>
      </c>
      <c r="C9" s="20" t="s">
        <v>19</v>
      </c>
      <c r="D9" s="20" t="s">
        <v>9</v>
      </c>
      <c r="E9" s="20" t="s">
        <v>20</v>
      </c>
      <c r="F9" s="18"/>
    </row>
    <row r="10" spans="1:6" x14ac:dyDescent="0.3">
      <c r="A10" s="18" t="s">
        <v>25</v>
      </c>
      <c r="B10" s="18" t="s">
        <v>7</v>
      </c>
      <c r="C10" s="18" t="s">
        <v>14</v>
      </c>
      <c r="D10" s="18" t="s">
        <v>12</v>
      </c>
      <c r="E10" s="18" t="s">
        <v>20</v>
      </c>
      <c r="F10" s="18"/>
    </row>
    <row r="11" spans="1:6" x14ac:dyDescent="0.3">
      <c r="A11" s="18" t="s">
        <v>26</v>
      </c>
      <c r="B11" s="18" t="s">
        <v>7</v>
      </c>
      <c r="C11" s="18" t="s">
        <v>27</v>
      </c>
      <c r="D11" s="18" t="s">
        <v>12</v>
      </c>
      <c r="E11" s="18" t="s">
        <v>20</v>
      </c>
      <c r="F11" s="18"/>
    </row>
    <row r="12" spans="1:6" x14ac:dyDescent="0.3">
      <c r="A12" s="22" t="s">
        <v>28</v>
      </c>
      <c r="B12" s="18" t="s">
        <v>7</v>
      </c>
      <c r="C12" s="19" t="s">
        <v>29</v>
      </c>
      <c r="D12" s="19" t="s">
        <v>30</v>
      </c>
      <c r="E12" s="19" t="s">
        <v>20</v>
      </c>
      <c r="F12" s="18"/>
    </row>
    <row r="13" spans="1:6" x14ac:dyDescent="0.3">
      <c r="A13" s="18" t="s">
        <v>31</v>
      </c>
      <c r="B13" s="18" t="s">
        <v>22</v>
      </c>
      <c r="C13" s="16">
        <v>20</v>
      </c>
      <c r="D13" s="18" t="s">
        <v>32</v>
      </c>
      <c r="E13" s="18" t="s">
        <v>10</v>
      </c>
      <c r="F13" s="18"/>
    </row>
    <row r="14" spans="1:6" x14ac:dyDescent="0.3">
      <c r="A14" s="18" t="s">
        <v>33</v>
      </c>
      <c r="B14" s="18" t="s">
        <v>22</v>
      </c>
      <c r="C14" s="18"/>
      <c r="D14" s="18" t="s">
        <v>12</v>
      </c>
      <c r="E14" s="18" t="s">
        <v>10</v>
      </c>
      <c r="F14" s="18" t="s">
        <v>34</v>
      </c>
    </row>
    <row r="15" spans="1:6" x14ac:dyDescent="0.3">
      <c r="A15" s="18" t="s">
        <v>35</v>
      </c>
      <c r="B15" s="18" t="s">
        <v>22</v>
      </c>
      <c r="C15" s="18"/>
      <c r="D15" s="18"/>
      <c r="E15" s="18"/>
      <c r="F15" s="18" t="s">
        <v>34</v>
      </c>
    </row>
    <row r="16" spans="1:6" x14ac:dyDescent="0.3">
      <c r="A16" s="18" t="s">
        <v>36</v>
      </c>
      <c r="B16" s="18" t="s">
        <v>22</v>
      </c>
      <c r="C16" s="18"/>
      <c r="D16" s="18"/>
      <c r="E16" s="18"/>
      <c r="F16" s="18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90611-4FDA-417E-84D3-18E6C1BA65BD}">
  <dimension ref="A1:M100"/>
  <sheetViews>
    <sheetView showGridLines="0" workbookViewId="0">
      <pane ySplit="1" topLeftCell="A2" activePane="bottomLeft" state="frozen"/>
      <selection activeCell="A2" sqref="A2"/>
      <selection pane="bottomLeft" activeCell="K1" sqref="K1"/>
    </sheetView>
  </sheetViews>
  <sheetFormatPr defaultColWidth="0" defaultRowHeight="14.4" zeroHeight="1" x14ac:dyDescent="0.3"/>
  <cols>
    <col min="1" max="1" width="36.5546875" style="14" bestFit="1" customWidth="1"/>
    <col min="2" max="2" width="8.6640625" style="14" customWidth="1"/>
    <col min="3" max="3" width="8.6640625" customWidth="1"/>
    <col min="4" max="4" width="8.6640625" style="14" customWidth="1"/>
    <col min="5" max="5" width="8.6640625" customWidth="1"/>
    <col min="6" max="6" width="8.6640625" style="14" customWidth="1"/>
    <col min="7" max="7" width="11.109375" bestFit="1" customWidth="1"/>
    <col min="8" max="8" width="8.6640625" style="14" customWidth="1"/>
    <col min="9" max="9" width="8.6640625" customWidth="1"/>
    <col min="10" max="10" width="8.6640625" style="14" customWidth="1"/>
    <col min="11" max="11" width="8.6640625" style="15" customWidth="1"/>
    <col min="12" max="12" width="10.44140625" style="15" bestFit="1" customWidth="1"/>
    <col min="13" max="13" width="17.6640625" style="14" customWidth="1"/>
    <col min="14" max="16384" width="8.6640625" hidden="1"/>
  </cols>
  <sheetData>
    <row r="1" spans="1:13" ht="15" thickBot="1" x14ac:dyDescent="0.35">
      <c r="A1" s="1" t="s">
        <v>38</v>
      </c>
      <c r="B1" s="2" t="s">
        <v>39</v>
      </c>
      <c r="C1" s="1" t="s">
        <v>60</v>
      </c>
      <c r="D1" s="2" t="s">
        <v>67</v>
      </c>
      <c r="E1" s="1" t="s">
        <v>61</v>
      </c>
      <c r="F1" s="2" t="s">
        <v>68</v>
      </c>
      <c r="G1" s="1" t="s">
        <v>62</v>
      </c>
      <c r="H1" s="2" t="s">
        <v>69</v>
      </c>
      <c r="I1" s="3" t="s">
        <v>63</v>
      </c>
      <c r="J1" s="4" t="s">
        <v>70</v>
      </c>
      <c r="K1" s="5" t="s">
        <v>64</v>
      </c>
      <c r="L1" s="5" t="s">
        <v>65</v>
      </c>
      <c r="M1" s="5" t="s">
        <v>66</v>
      </c>
    </row>
    <row r="2" spans="1:13" x14ac:dyDescent="0.3">
      <c r="A2" s="6" t="s">
        <v>40</v>
      </c>
      <c r="B2" s="7">
        <v>45566</v>
      </c>
      <c r="C2" s="8">
        <v>2</v>
      </c>
      <c r="D2" s="9">
        <v>0</v>
      </c>
      <c r="E2" s="10">
        <v>117</v>
      </c>
      <c r="F2" s="11">
        <v>0</v>
      </c>
      <c r="G2" s="8">
        <v>27</v>
      </c>
      <c r="H2" s="9">
        <v>0</v>
      </c>
      <c r="I2" s="10">
        <v>20</v>
      </c>
      <c r="J2" s="11">
        <v>0</v>
      </c>
      <c r="K2" s="12">
        <f t="shared" ref="K2:K21" si="0">SUM($C2,$E2,$G2,$I2)</f>
        <v>166</v>
      </c>
      <c r="L2" s="12">
        <f>SUM($D2,$F2,$H2,$J2)</f>
        <v>0</v>
      </c>
      <c r="M2" s="13">
        <f t="shared" ref="M2:M21" si="1">(($K2-$L2)/$K2)</f>
        <v>1</v>
      </c>
    </row>
    <row r="3" spans="1:13" x14ac:dyDescent="0.3">
      <c r="A3" s="6" t="s">
        <v>41</v>
      </c>
      <c r="B3" s="7">
        <v>45566</v>
      </c>
      <c r="C3" s="8">
        <v>16</v>
      </c>
      <c r="D3" s="9">
        <v>0</v>
      </c>
      <c r="E3" s="10">
        <v>4</v>
      </c>
      <c r="F3" s="11">
        <v>0</v>
      </c>
      <c r="G3" s="8">
        <v>68</v>
      </c>
      <c r="H3" s="9">
        <v>4</v>
      </c>
      <c r="I3" s="10">
        <v>0</v>
      </c>
      <c r="J3" s="11">
        <v>0</v>
      </c>
      <c r="K3" s="12">
        <f t="shared" si="0"/>
        <v>88</v>
      </c>
      <c r="L3" s="12">
        <f>SUM($D3,$F3,$H3,$J3)</f>
        <v>4</v>
      </c>
      <c r="M3" s="13">
        <f t="shared" si="1"/>
        <v>0.95454545454545459</v>
      </c>
    </row>
    <row r="4" spans="1:13" x14ac:dyDescent="0.3">
      <c r="A4" s="6" t="s">
        <v>42</v>
      </c>
      <c r="B4" s="7">
        <v>45627</v>
      </c>
      <c r="C4" s="8">
        <v>33</v>
      </c>
      <c r="D4" s="9"/>
      <c r="E4" s="10">
        <v>259</v>
      </c>
      <c r="F4" s="11">
        <v>22</v>
      </c>
      <c r="G4" s="8">
        <v>25</v>
      </c>
      <c r="H4" s="9"/>
      <c r="I4" s="10">
        <v>28</v>
      </c>
      <c r="J4" s="11">
        <v>4</v>
      </c>
      <c r="K4" s="12">
        <f t="shared" si="0"/>
        <v>345</v>
      </c>
      <c r="L4" s="12">
        <f>SUM($D4,$F4,$H4,$J4)</f>
        <v>26</v>
      </c>
      <c r="M4" s="13">
        <f t="shared" si="1"/>
        <v>0.92463768115942024</v>
      </c>
    </row>
    <row r="5" spans="1:13" x14ac:dyDescent="0.3">
      <c r="A5" s="6" t="s">
        <v>43</v>
      </c>
      <c r="B5" s="7">
        <v>45713</v>
      </c>
      <c r="C5" s="8">
        <v>44</v>
      </c>
      <c r="D5" s="9"/>
      <c r="E5" s="10">
        <v>118</v>
      </c>
      <c r="F5" s="11">
        <v>14</v>
      </c>
      <c r="G5" s="8">
        <v>9</v>
      </c>
      <c r="H5" s="9"/>
      <c r="I5" s="10">
        <v>111</v>
      </c>
      <c r="J5" s="11">
        <v>30</v>
      </c>
      <c r="K5" s="12">
        <f t="shared" si="0"/>
        <v>282</v>
      </c>
      <c r="L5" s="12">
        <f t="shared" ref="L5:L21" si="2">SUM($D5,$F5,$H5,$J5)</f>
        <v>44</v>
      </c>
      <c r="M5" s="13">
        <f t="shared" si="1"/>
        <v>0.84397163120567376</v>
      </c>
    </row>
    <row r="6" spans="1:13" x14ac:dyDescent="0.3">
      <c r="A6" s="6" t="s">
        <v>44</v>
      </c>
      <c r="B6" s="7">
        <v>45802</v>
      </c>
      <c r="C6" s="8">
        <v>29</v>
      </c>
      <c r="D6" s="9">
        <v>0</v>
      </c>
      <c r="E6" s="10">
        <v>142</v>
      </c>
      <c r="F6" s="11">
        <v>11</v>
      </c>
      <c r="G6" s="8">
        <v>46</v>
      </c>
      <c r="H6" s="9">
        <v>10</v>
      </c>
      <c r="I6" s="10">
        <v>87</v>
      </c>
      <c r="J6" s="11">
        <v>12</v>
      </c>
      <c r="K6" s="12">
        <f t="shared" si="0"/>
        <v>304</v>
      </c>
      <c r="L6" s="12">
        <f t="shared" si="2"/>
        <v>33</v>
      </c>
      <c r="M6" s="13">
        <f t="shared" si="1"/>
        <v>0.89144736842105265</v>
      </c>
    </row>
    <row r="7" spans="1:13" x14ac:dyDescent="0.3">
      <c r="A7" s="6" t="s">
        <v>45</v>
      </c>
      <c r="B7" s="7">
        <v>45833</v>
      </c>
      <c r="C7" s="8">
        <v>10</v>
      </c>
      <c r="D7" s="9"/>
      <c r="E7" s="10">
        <v>49</v>
      </c>
      <c r="F7" s="11">
        <v>2</v>
      </c>
      <c r="G7" s="8">
        <v>0</v>
      </c>
      <c r="H7" s="9">
        <v>0</v>
      </c>
      <c r="I7" s="10">
        <v>38</v>
      </c>
      <c r="J7" s="11">
        <v>0</v>
      </c>
      <c r="K7" s="12">
        <f t="shared" si="0"/>
        <v>97</v>
      </c>
      <c r="L7" s="12">
        <f t="shared" si="2"/>
        <v>2</v>
      </c>
      <c r="M7" s="13">
        <f t="shared" si="1"/>
        <v>0.97938144329896903</v>
      </c>
    </row>
    <row r="8" spans="1:13" x14ac:dyDescent="0.3">
      <c r="A8" s="6" t="s">
        <v>46</v>
      </c>
      <c r="B8" s="7">
        <v>45863</v>
      </c>
      <c r="C8" s="8">
        <v>45</v>
      </c>
      <c r="D8" s="9">
        <v>2</v>
      </c>
      <c r="E8" s="10">
        <v>84</v>
      </c>
      <c r="F8" s="11">
        <v>11</v>
      </c>
      <c r="G8" s="8">
        <v>18</v>
      </c>
      <c r="H8" s="9"/>
      <c r="I8" s="10"/>
      <c r="J8" s="11"/>
      <c r="K8" s="12">
        <f t="shared" si="0"/>
        <v>147</v>
      </c>
      <c r="L8" s="12">
        <f t="shared" si="2"/>
        <v>13</v>
      </c>
      <c r="M8" s="13">
        <f t="shared" si="1"/>
        <v>0.91156462585034015</v>
      </c>
    </row>
    <row r="9" spans="1:13" x14ac:dyDescent="0.3">
      <c r="A9" s="6" t="s">
        <v>47</v>
      </c>
      <c r="B9" s="7">
        <v>45863</v>
      </c>
      <c r="C9" s="8">
        <v>36</v>
      </c>
      <c r="D9" s="9">
        <v>4</v>
      </c>
      <c r="E9" s="10">
        <v>69</v>
      </c>
      <c r="F9" s="11">
        <v>5</v>
      </c>
      <c r="G9" s="8">
        <v>19</v>
      </c>
      <c r="H9" s="9"/>
      <c r="I9" s="10"/>
      <c r="J9" s="11"/>
      <c r="K9" s="12">
        <f t="shared" si="0"/>
        <v>124</v>
      </c>
      <c r="L9" s="12">
        <f t="shared" si="2"/>
        <v>9</v>
      </c>
      <c r="M9" s="13">
        <f t="shared" si="1"/>
        <v>0.92741935483870963</v>
      </c>
    </row>
    <row r="10" spans="1:13" x14ac:dyDescent="0.3">
      <c r="A10" s="6" t="s">
        <v>48</v>
      </c>
      <c r="B10" s="7">
        <v>45894</v>
      </c>
      <c r="C10" s="8"/>
      <c r="D10" s="9"/>
      <c r="E10" s="10">
        <v>48</v>
      </c>
      <c r="F10" s="11">
        <v>8</v>
      </c>
      <c r="G10" s="8"/>
      <c r="H10" s="9"/>
      <c r="I10" s="10">
        <v>5</v>
      </c>
      <c r="J10" s="11">
        <v>2</v>
      </c>
      <c r="K10" s="12">
        <f t="shared" si="0"/>
        <v>53</v>
      </c>
      <c r="L10" s="12">
        <f t="shared" si="2"/>
        <v>10</v>
      </c>
      <c r="M10" s="13">
        <f t="shared" si="1"/>
        <v>0.81132075471698117</v>
      </c>
    </row>
    <row r="11" spans="1:13" x14ac:dyDescent="0.3">
      <c r="A11" s="6" t="s">
        <v>49</v>
      </c>
      <c r="B11" s="7">
        <v>45925</v>
      </c>
      <c r="C11" s="8">
        <v>27</v>
      </c>
      <c r="D11" s="9">
        <v>0</v>
      </c>
      <c r="E11" s="10">
        <v>70</v>
      </c>
      <c r="F11" s="11">
        <v>7</v>
      </c>
      <c r="G11" s="8">
        <v>9</v>
      </c>
      <c r="H11" s="9">
        <v>2</v>
      </c>
      <c r="I11" s="10"/>
      <c r="J11" s="11"/>
      <c r="K11" s="12">
        <f t="shared" si="0"/>
        <v>106</v>
      </c>
      <c r="L11" s="12">
        <f t="shared" si="2"/>
        <v>9</v>
      </c>
      <c r="M11" s="13">
        <f t="shared" si="1"/>
        <v>0.91509433962264153</v>
      </c>
    </row>
    <row r="12" spans="1:13" x14ac:dyDescent="0.3">
      <c r="A12" s="6" t="s">
        <v>50</v>
      </c>
      <c r="B12" s="7">
        <v>45955</v>
      </c>
      <c r="C12" s="8">
        <v>21</v>
      </c>
      <c r="D12" s="9">
        <v>2</v>
      </c>
      <c r="E12" s="10">
        <v>29</v>
      </c>
      <c r="F12" s="11">
        <v>6</v>
      </c>
      <c r="G12" s="8"/>
      <c r="H12" s="9"/>
      <c r="I12" s="10"/>
      <c r="J12" s="11"/>
      <c r="K12" s="12">
        <f t="shared" si="0"/>
        <v>50</v>
      </c>
      <c r="L12" s="12">
        <f t="shared" si="2"/>
        <v>8</v>
      </c>
      <c r="M12" s="13">
        <f t="shared" si="1"/>
        <v>0.84</v>
      </c>
    </row>
    <row r="13" spans="1:13" x14ac:dyDescent="0.3">
      <c r="A13" s="6" t="s">
        <v>51</v>
      </c>
      <c r="B13" s="7">
        <v>45955</v>
      </c>
      <c r="C13" s="8">
        <v>28</v>
      </c>
      <c r="D13" s="9">
        <v>0</v>
      </c>
      <c r="E13" s="10">
        <v>100</v>
      </c>
      <c r="F13" s="11">
        <v>45</v>
      </c>
      <c r="G13" s="8">
        <v>9</v>
      </c>
      <c r="H13" s="9">
        <v>2</v>
      </c>
      <c r="I13" s="10"/>
      <c r="J13" s="11"/>
      <c r="K13" s="12">
        <f t="shared" si="0"/>
        <v>137</v>
      </c>
      <c r="L13" s="12">
        <f t="shared" si="2"/>
        <v>47</v>
      </c>
      <c r="M13" s="13">
        <f t="shared" si="1"/>
        <v>0.65693430656934304</v>
      </c>
    </row>
    <row r="14" spans="1:13" x14ac:dyDescent="0.3">
      <c r="A14" s="6" t="s">
        <v>52</v>
      </c>
      <c r="B14" s="7">
        <v>45986</v>
      </c>
      <c r="C14" s="8">
        <v>48</v>
      </c>
      <c r="D14" s="9">
        <v>4</v>
      </c>
      <c r="E14" s="10">
        <v>16</v>
      </c>
      <c r="F14" s="11">
        <v>8</v>
      </c>
      <c r="G14" s="8">
        <v>16</v>
      </c>
      <c r="H14" s="9">
        <v>4</v>
      </c>
      <c r="I14" s="10"/>
      <c r="J14" s="11"/>
      <c r="K14" s="12">
        <f t="shared" si="0"/>
        <v>80</v>
      </c>
      <c r="L14" s="12">
        <f t="shared" si="2"/>
        <v>16</v>
      </c>
      <c r="M14" s="13">
        <f t="shared" si="1"/>
        <v>0.8</v>
      </c>
    </row>
    <row r="15" spans="1:13" x14ac:dyDescent="0.3">
      <c r="A15" s="6" t="s">
        <v>53</v>
      </c>
      <c r="B15" s="7">
        <v>45986</v>
      </c>
      <c r="C15" s="8">
        <v>59</v>
      </c>
      <c r="D15" s="9">
        <v>12</v>
      </c>
      <c r="E15" s="10">
        <v>140</v>
      </c>
      <c r="F15" s="11">
        <v>24</v>
      </c>
      <c r="G15" s="8">
        <v>44</v>
      </c>
      <c r="H15" s="9">
        <v>27</v>
      </c>
      <c r="I15" s="10"/>
      <c r="J15" s="11"/>
      <c r="K15" s="12">
        <f t="shared" si="0"/>
        <v>243</v>
      </c>
      <c r="L15" s="12">
        <f t="shared" si="2"/>
        <v>63</v>
      </c>
      <c r="M15" s="13">
        <f t="shared" si="1"/>
        <v>0.7407407407407407</v>
      </c>
    </row>
    <row r="16" spans="1:13" x14ac:dyDescent="0.3">
      <c r="A16" s="6" t="s">
        <v>54</v>
      </c>
      <c r="B16" s="7">
        <v>45986</v>
      </c>
      <c r="C16" s="8"/>
      <c r="D16" s="9"/>
      <c r="E16" s="10">
        <v>11</v>
      </c>
      <c r="F16" s="11">
        <v>3</v>
      </c>
      <c r="G16" s="8"/>
      <c r="H16" s="9"/>
      <c r="I16" s="10">
        <v>40</v>
      </c>
      <c r="J16" s="11">
        <v>19</v>
      </c>
      <c r="K16" s="12">
        <f t="shared" si="0"/>
        <v>51</v>
      </c>
      <c r="L16" s="12">
        <f t="shared" si="2"/>
        <v>22</v>
      </c>
      <c r="M16" s="13">
        <f t="shared" si="1"/>
        <v>0.56862745098039214</v>
      </c>
    </row>
    <row r="17" spans="1:13" x14ac:dyDescent="0.3">
      <c r="A17" s="6" t="s">
        <v>55</v>
      </c>
      <c r="B17" s="7">
        <v>45986</v>
      </c>
      <c r="C17" s="8">
        <v>53</v>
      </c>
      <c r="D17" s="9">
        <v>9</v>
      </c>
      <c r="E17" s="10">
        <v>143</v>
      </c>
      <c r="F17" s="11">
        <v>29</v>
      </c>
      <c r="G17" s="8"/>
      <c r="H17" s="9"/>
      <c r="I17" s="10"/>
      <c r="J17" s="11"/>
      <c r="K17" s="12">
        <f t="shared" si="0"/>
        <v>196</v>
      </c>
      <c r="L17" s="12">
        <f t="shared" si="2"/>
        <v>38</v>
      </c>
      <c r="M17" s="13">
        <f t="shared" si="1"/>
        <v>0.80612244897959184</v>
      </c>
    </row>
    <row r="18" spans="1:13" x14ac:dyDescent="0.3">
      <c r="A18" s="6" t="s">
        <v>59</v>
      </c>
      <c r="B18" s="7">
        <v>46016</v>
      </c>
      <c r="C18" s="8">
        <v>47</v>
      </c>
      <c r="D18" s="9">
        <v>8</v>
      </c>
      <c r="E18" s="10">
        <v>187</v>
      </c>
      <c r="F18" s="11">
        <v>22</v>
      </c>
      <c r="G18" s="8">
        <v>20</v>
      </c>
      <c r="H18" s="9">
        <v>4</v>
      </c>
      <c r="I18" s="10">
        <v>42</v>
      </c>
      <c r="J18" s="11">
        <v>10</v>
      </c>
      <c r="K18" s="12">
        <f t="shared" si="0"/>
        <v>296</v>
      </c>
      <c r="L18" s="12">
        <f t="shared" si="2"/>
        <v>44</v>
      </c>
      <c r="M18" s="13">
        <f t="shared" si="1"/>
        <v>0.85135135135135132</v>
      </c>
    </row>
    <row r="19" spans="1:13" x14ac:dyDescent="0.3">
      <c r="A19" s="6" t="s">
        <v>56</v>
      </c>
      <c r="B19" s="7">
        <v>46016</v>
      </c>
      <c r="C19" s="8"/>
      <c r="D19" s="9"/>
      <c r="E19" s="10">
        <v>20</v>
      </c>
      <c r="F19" s="11">
        <v>6</v>
      </c>
      <c r="G19" s="8"/>
      <c r="H19" s="9"/>
      <c r="I19" s="10"/>
      <c r="J19" s="11"/>
      <c r="K19" s="12">
        <f t="shared" si="0"/>
        <v>20</v>
      </c>
      <c r="L19" s="12">
        <f t="shared" si="2"/>
        <v>6</v>
      </c>
      <c r="M19" s="13">
        <f t="shared" si="1"/>
        <v>0.7</v>
      </c>
    </row>
    <row r="20" spans="1:13" x14ac:dyDescent="0.3">
      <c r="A20" s="6" t="s">
        <v>57</v>
      </c>
      <c r="B20" s="7">
        <v>46016</v>
      </c>
      <c r="C20" s="8">
        <v>31</v>
      </c>
      <c r="D20" s="9">
        <v>4</v>
      </c>
      <c r="E20" s="10">
        <v>131</v>
      </c>
      <c r="F20" s="11">
        <v>23</v>
      </c>
      <c r="G20" s="8">
        <v>9</v>
      </c>
      <c r="H20" s="9">
        <v>4</v>
      </c>
      <c r="I20" s="10"/>
      <c r="J20" s="11"/>
      <c r="K20" s="12">
        <f t="shared" si="0"/>
        <v>171</v>
      </c>
      <c r="L20" s="12">
        <f t="shared" si="2"/>
        <v>31</v>
      </c>
      <c r="M20" s="13">
        <f t="shared" si="1"/>
        <v>0.81871345029239762</v>
      </c>
    </row>
    <row r="21" spans="1:13" x14ac:dyDescent="0.3">
      <c r="A21" s="6" t="s">
        <v>58</v>
      </c>
      <c r="B21" s="7">
        <v>46016</v>
      </c>
      <c r="C21" s="8">
        <v>111</v>
      </c>
      <c r="D21" s="9">
        <v>6</v>
      </c>
      <c r="E21" s="10">
        <v>250</v>
      </c>
      <c r="F21" s="11">
        <v>46</v>
      </c>
      <c r="G21" s="8">
        <v>110</v>
      </c>
      <c r="H21" s="9">
        <v>14</v>
      </c>
      <c r="I21" s="10"/>
      <c r="J21" s="11"/>
      <c r="K21" s="12">
        <f t="shared" si="0"/>
        <v>471</v>
      </c>
      <c r="L21" s="12">
        <f t="shared" si="2"/>
        <v>66</v>
      </c>
      <c r="M21" s="13">
        <f t="shared" si="1"/>
        <v>0.85987261146496818</v>
      </c>
    </row>
    <row r="22" spans="1:13" x14ac:dyDescent="0.3">
      <c r="A22" s="6"/>
      <c r="B22" s="6"/>
      <c r="C22" s="8"/>
      <c r="D22" s="9"/>
      <c r="E22" s="10"/>
      <c r="F22" s="11"/>
      <c r="G22" s="8"/>
      <c r="H22" s="9"/>
      <c r="I22" s="10"/>
      <c r="J22" s="11"/>
      <c r="K22" s="12"/>
      <c r="L22" s="12"/>
      <c r="M22" s="13"/>
    </row>
    <row r="23" spans="1:13" x14ac:dyDescent="0.3">
      <c r="A23" s="6"/>
      <c r="B23" s="6"/>
      <c r="C23" s="8"/>
      <c r="D23" s="9"/>
      <c r="E23" s="10"/>
      <c r="F23" s="11"/>
      <c r="G23" s="8"/>
      <c r="H23" s="9"/>
      <c r="I23" s="10"/>
      <c r="J23" s="11"/>
      <c r="K23" s="12"/>
      <c r="L23" s="12"/>
      <c r="M23" s="13"/>
    </row>
    <row r="24" spans="1:13" x14ac:dyDescent="0.3">
      <c r="A24" s="6"/>
      <c r="B24" s="6"/>
      <c r="C24" s="8"/>
      <c r="D24" s="9"/>
      <c r="E24" s="10"/>
      <c r="F24" s="11"/>
      <c r="G24" s="8"/>
      <c r="H24" s="9"/>
      <c r="I24" s="10"/>
      <c r="J24" s="11"/>
      <c r="K24" s="12"/>
      <c r="L24" s="12"/>
      <c r="M24" s="13"/>
    </row>
    <row r="25" spans="1:13" x14ac:dyDescent="0.3">
      <c r="A25" s="6"/>
      <c r="B25" s="6"/>
      <c r="C25" s="8"/>
      <c r="D25" s="9"/>
      <c r="E25" s="10"/>
      <c r="F25" s="11"/>
      <c r="G25" s="8"/>
      <c r="H25" s="9"/>
      <c r="I25" s="10"/>
      <c r="J25" s="11"/>
      <c r="K25" s="12"/>
      <c r="L25" s="12"/>
      <c r="M25" s="13"/>
    </row>
    <row r="26" spans="1:13" x14ac:dyDescent="0.3">
      <c r="A26" s="6"/>
      <c r="B26" s="6"/>
      <c r="C26" s="8"/>
      <c r="D26" s="9"/>
      <c r="E26" s="10"/>
      <c r="F26" s="11"/>
      <c r="G26" s="8"/>
      <c r="H26" s="9"/>
      <c r="I26" s="10"/>
      <c r="J26" s="11"/>
      <c r="K26" s="12"/>
      <c r="L26" s="12"/>
      <c r="M26" s="13"/>
    </row>
    <row r="27" spans="1:13" x14ac:dyDescent="0.3">
      <c r="A27" s="6"/>
      <c r="B27" s="6"/>
      <c r="C27" s="8"/>
      <c r="D27" s="9"/>
      <c r="E27" s="10"/>
      <c r="F27" s="11"/>
      <c r="G27" s="8"/>
      <c r="H27" s="9"/>
      <c r="I27" s="10"/>
      <c r="J27" s="11"/>
      <c r="K27" s="12"/>
      <c r="L27" s="12"/>
      <c r="M27" s="13"/>
    </row>
    <row r="28" spans="1:13" x14ac:dyDescent="0.3">
      <c r="A28" s="6"/>
      <c r="B28" s="6"/>
      <c r="C28" s="8"/>
      <c r="D28" s="9"/>
      <c r="E28" s="10"/>
      <c r="F28" s="11"/>
      <c r="G28" s="8"/>
      <c r="H28" s="9"/>
      <c r="I28" s="10"/>
      <c r="J28" s="11"/>
      <c r="K28" s="12"/>
      <c r="L28" s="12"/>
      <c r="M28" s="13"/>
    </row>
    <row r="29" spans="1:13" x14ac:dyDescent="0.3">
      <c r="A29" s="6"/>
      <c r="B29" s="6"/>
      <c r="C29" s="8"/>
      <c r="D29" s="9"/>
      <c r="E29" s="10"/>
      <c r="F29" s="11"/>
      <c r="G29" s="8"/>
      <c r="H29" s="9"/>
      <c r="I29" s="10"/>
      <c r="J29" s="11"/>
      <c r="K29" s="12"/>
      <c r="L29" s="12"/>
      <c r="M29" s="13"/>
    </row>
    <row r="30" spans="1:13" x14ac:dyDescent="0.3">
      <c r="A30" s="6"/>
      <c r="B30" s="6"/>
      <c r="C30" s="8"/>
      <c r="D30" s="9"/>
      <c r="E30" s="10"/>
      <c r="F30" s="11"/>
      <c r="G30" s="8"/>
      <c r="H30" s="9"/>
      <c r="I30" s="10"/>
      <c r="J30" s="11"/>
      <c r="K30" s="12"/>
      <c r="L30" s="12"/>
      <c r="M30" s="13"/>
    </row>
    <row r="31" spans="1:13" x14ac:dyDescent="0.3">
      <c r="A31" s="6"/>
      <c r="B31" s="6"/>
      <c r="C31" s="8"/>
      <c r="D31" s="9"/>
      <c r="E31" s="10"/>
      <c r="F31" s="11"/>
      <c r="G31" s="8"/>
      <c r="H31" s="9"/>
      <c r="I31" s="10"/>
      <c r="J31" s="11"/>
      <c r="K31" s="12"/>
      <c r="L31" s="12"/>
      <c r="M31" s="13"/>
    </row>
    <row r="32" spans="1:13" x14ac:dyDescent="0.3">
      <c r="A32" s="6"/>
      <c r="B32" s="6"/>
      <c r="C32" s="8"/>
      <c r="D32" s="9"/>
      <c r="E32" s="10"/>
      <c r="F32" s="11"/>
      <c r="G32" s="8"/>
      <c r="H32" s="9"/>
      <c r="I32" s="10"/>
      <c r="J32" s="11"/>
      <c r="K32" s="12"/>
      <c r="L32" s="12"/>
      <c r="M32" s="13"/>
    </row>
    <row r="33" spans="1:13" x14ac:dyDescent="0.3">
      <c r="A33" s="6"/>
      <c r="B33" s="6"/>
      <c r="C33" s="8"/>
      <c r="D33" s="9"/>
      <c r="E33" s="10"/>
      <c r="F33" s="11"/>
      <c r="G33" s="8"/>
      <c r="H33" s="9"/>
      <c r="I33" s="10"/>
      <c r="J33" s="11"/>
      <c r="K33" s="12"/>
      <c r="L33" s="12"/>
      <c r="M33" s="13"/>
    </row>
    <row r="34" spans="1:13" x14ac:dyDescent="0.3">
      <c r="A34" s="6"/>
      <c r="B34" s="6"/>
      <c r="C34" s="8"/>
      <c r="D34" s="9"/>
      <c r="E34" s="10"/>
      <c r="F34" s="11"/>
      <c r="G34" s="8"/>
      <c r="H34" s="9"/>
      <c r="I34" s="10"/>
      <c r="J34" s="11"/>
      <c r="K34" s="12"/>
      <c r="L34" s="12"/>
      <c r="M34" s="13"/>
    </row>
    <row r="35" spans="1:13" x14ac:dyDescent="0.3">
      <c r="A35" s="6"/>
      <c r="B35" s="6"/>
      <c r="C35" s="8"/>
      <c r="D35" s="9"/>
      <c r="E35" s="10"/>
      <c r="F35" s="11"/>
      <c r="G35" s="8"/>
      <c r="H35" s="9"/>
      <c r="I35" s="10"/>
      <c r="J35" s="11"/>
      <c r="K35" s="12"/>
      <c r="L35" s="12"/>
      <c r="M35" s="13"/>
    </row>
    <row r="36" spans="1:13" x14ac:dyDescent="0.3">
      <c r="A36" s="6"/>
      <c r="B36" s="6"/>
      <c r="C36" s="8"/>
      <c r="D36" s="9"/>
      <c r="E36" s="10"/>
      <c r="F36" s="11"/>
      <c r="G36" s="8"/>
      <c r="H36" s="9"/>
      <c r="I36" s="10"/>
      <c r="J36" s="11"/>
      <c r="K36" s="12"/>
      <c r="L36" s="12"/>
      <c r="M36" s="13"/>
    </row>
    <row r="37" spans="1:13" x14ac:dyDescent="0.3">
      <c r="A37" s="6"/>
      <c r="B37" s="6"/>
      <c r="C37" s="8"/>
      <c r="D37" s="9"/>
      <c r="E37" s="10"/>
      <c r="F37" s="11"/>
      <c r="G37" s="8"/>
      <c r="H37" s="9"/>
      <c r="I37" s="10"/>
      <c r="J37" s="11"/>
      <c r="K37" s="12"/>
      <c r="L37" s="12"/>
      <c r="M37" s="13"/>
    </row>
    <row r="38" spans="1:13" x14ac:dyDescent="0.3">
      <c r="A38" s="6"/>
      <c r="B38" s="6"/>
      <c r="C38" s="8"/>
      <c r="D38" s="9"/>
      <c r="E38" s="10"/>
      <c r="F38" s="11"/>
      <c r="G38" s="8"/>
      <c r="H38" s="9"/>
      <c r="I38" s="10"/>
      <c r="J38" s="11"/>
      <c r="K38" s="12"/>
      <c r="L38" s="12"/>
      <c r="M38" s="13"/>
    </row>
    <row r="39" spans="1:13" x14ac:dyDescent="0.3">
      <c r="A39" s="6"/>
      <c r="B39" s="6"/>
      <c r="C39" s="8"/>
      <c r="D39" s="9"/>
      <c r="E39" s="10"/>
      <c r="F39" s="11"/>
      <c r="G39" s="8"/>
      <c r="H39" s="9"/>
      <c r="I39" s="10"/>
      <c r="J39" s="11"/>
      <c r="K39" s="12"/>
      <c r="L39" s="12"/>
      <c r="M39" s="13"/>
    </row>
    <row r="40" spans="1:13" x14ac:dyDescent="0.3">
      <c r="A40" s="6"/>
      <c r="B40" s="6"/>
      <c r="C40" s="8"/>
      <c r="D40" s="9"/>
      <c r="E40" s="10"/>
      <c r="F40" s="11"/>
      <c r="G40" s="8"/>
      <c r="H40" s="9"/>
      <c r="I40" s="10"/>
      <c r="J40" s="11"/>
      <c r="K40" s="12"/>
      <c r="L40" s="12"/>
      <c r="M40" s="13"/>
    </row>
    <row r="41" spans="1:13" x14ac:dyDescent="0.3">
      <c r="A41" s="6"/>
      <c r="B41" s="6"/>
      <c r="C41" s="8"/>
      <c r="D41" s="9"/>
      <c r="E41" s="10"/>
      <c r="F41" s="11"/>
      <c r="G41" s="8"/>
      <c r="H41" s="9"/>
      <c r="I41" s="10"/>
      <c r="J41" s="11"/>
      <c r="K41" s="12"/>
      <c r="L41" s="12"/>
      <c r="M41" s="13"/>
    </row>
    <row r="42" spans="1:13" x14ac:dyDescent="0.3">
      <c r="A42" s="6"/>
      <c r="B42" s="6"/>
      <c r="C42" s="8"/>
      <c r="D42" s="9"/>
      <c r="E42" s="10"/>
      <c r="F42" s="11"/>
      <c r="G42" s="8"/>
      <c r="H42" s="9"/>
      <c r="I42" s="10"/>
      <c r="J42" s="11"/>
      <c r="K42" s="12"/>
      <c r="L42" s="12"/>
      <c r="M42" s="13"/>
    </row>
    <row r="43" spans="1:13" x14ac:dyDescent="0.3">
      <c r="A43" s="6"/>
      <c r="B43" s="6"/>
      <c r="C43" s="8"/>
      <c r="D43" s="9"/>
      <c r="E43" s="10"/>
      <c r="F43" s="11"/>
      <c r="G43" s="8"/>
      <c r="H43" s="9"/>
      <c r="I43" s="10"/>
      <c r="J43" s="11"/>
      <c r="K43" s="12"/>
      <c r="L43" s="12"/>
      <c r="M43" s="13"/>
    </row>
    <row r="44" spans="1:13" x14ac:dyDescent="0.3">
      <c r="A44" s="6"/>
      <c r="B44" s="6"/>
      <c r="C44" s="8"/>
      <c r="D44" s="9"/>
      <c r="E44" s="10"/>
      <c r="F44" s="11"/>
      <c r="G44" s="8"/>
      <c r="H44" s="9"/>
      <c r="I44" s="10"/>
      <c r="J44" s="11"/>
      <c r="K44" s="12"/>
      <c r="L44" s="12"/>
      <c r="M44" s="13"/>
    </row>
    <row r="45" spans="1:13" x14ac:dyDescent="0.3">
      <c r="A45" s="6"/>
      <c r="B45" s="6"/>
      <c r="C45" s="8"/>
      <c r="D45" s="9"/>
      <c r="E45" s="10"/>
      <c r="F45" s="11"/>
      <c r="G45" s="8"/>
      <c r="H45" s="9"/>
      <c r="I45" s="10"/>
      <c r="J45" s="11"/>
      <c r="K45" s="12"/>
      <c r="L45" s="12"/>
      <c r="M45" s="13"/>
    </row>
    <row r="46" spans="1:13" x14ac:dyDescent="0.3">
      <c r="A46" s="6"/>
      <c r="B46" s="6"/>
      <c r="C46" s="8"/>
      <c r="D46" s="9"/>
      <c r="E46" s="10"/>
      <c r="F46" s="11"/>
      <c r="G46" s="8"/>
      <c r="H46" s="9"/>
      <c r="I46" s="10"/>
      <c r="J46" s="11"/>
      <c r="K46" s="12"/>
      <c r="L46" s="12"/>
      <c r="M46" s="13"/>
    </row>
    <row r="47" spans="1:13" x14ac:dyDescent="0.3">
      <c r="A47" s="6"/>
      <c r="B47" s="6"/>
      <c r="C47" s="8"/>
      <c r="D47" s="9"/>
      <c r="E47" s="10"/>
      <c r="F47" s="11"/>
      <c r="G47" s="8"/>
      <c r="H47" s="9"/>
      <c r="I47" s="10"/>
      <c r="J47" s="11"/>
      <c r="K47" s="12"/>
      <c r="L47" s="12"/>
      <c r="M47" s="13"/>
    </row>
    <row r="48" spans="1:13" x14ac:dyDescent="0.3">
      <c r="A48" s="6"/>
      <c r="B48" s="6"/>
      <c r="C48" s="8"/>
      <c r="D48" s="9"/>
      <c r="E48" s="10"/>
      <c r="F48" s="11"/>
      <c r="G48" s="8"/>
      <c r="H48" s="9"/>
      <c r="I48" s="10"/>
      <c r="J48" s="11"/>
      <c r="K48" s="12"/>
      <c r="L48" s="12"/>
      <c r="M48" s="13"/>
    </row>
    <row r="49" spans="1:13" x14ac:dyDescent="0.3">
      <c r="A49" s="6"/>
      <c r="B49" s="6"/>
      <c r="C49" s="8"/>
      <c r="D49" s="9"/>
      <c r="E49" s="10"/>
      <c r="F49" s="11"/>
      <c r="G49" s="8"/>
      <c r="H49" s="9"/>
      <c r="I49" s="10"/>
      <c r="J49" s="11"/>
      <c r="K49" s="12"/>
      <c r="L49" s="12"/>
      <c r="M49" s="13"/>
    </row>
    <row r="50" spans="1:13" x14ac:dyDescent="0.3"/>
    <row r="51" spans="1:13" x14ac:dyDescent="0.3"/>
    <row r="52" spans="1:13" x14ac:dyDescent="0.3"/>
    <row r="53" spans="1:13" x14ac:dyDescent="0.3"/>
    <row r="54" spans="1:13" x14ac:dyDescent="0.3"/>
    <row r="55" spans="1:13" x14ac:dyDescent="0.3"/>
    <row r="56" spans="1:13" x14ac:dyDescent="0.3"/>
    <row r="57" spans="1:13" x14ac:dyDescent="0.3"/>
    <row r="58" spans="1:13" x14ac:dyDescent="0.3"/>
    <row r="59" spans="1:13" x14ac:dyDescent="0.3"/>
    <row r="60" spans="1:13" x14ac:dyDescent="0.3"/>
    <row r="61" spans="1:13" x14ac:dyDescent="0.3"/>
    <row r="62" spans="1:13" x14ac:dyDescent="0.3"/>
    <row r="63" spans="1:13" x14ac:dyDescent="0.3"/>
    <row r="64" spans="1:13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 Details</vt:lpstr>
      <vt:lpstr>Bayer Quality Metrics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Sanket Agrawal</dc:creator>
  <cp:keywords/>
  <dc:description/>
  <cp:lastModifiedBy>Joshua Samuel</cp:lastModifiedBy>
  <cp:revision/>
  <dcterms:created xsi:type="dcterms:W3CDTF">2025-05-06T11:03:45Z</dcterms:created>
  <dcterms:modified xsi:type="dcterms:W3CDTF">2026-02-13T10:54:19Z</dcterms:modified>
  <cp:category/>
  <cp:contentStatus/>
</cp:coreProperties>
</file>